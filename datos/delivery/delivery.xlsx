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60" yWindow="80" windowWidth="18900" windowHeight="9340"/>
  </bookViews>
  <sheets>
    <sheet name="Hoja1" sheetId="1" r:id="rId1"/>
    <sheet name="Hoja2" sheetId="2" r:id="rId2"/>
    <sheet name="Hoja3" sheetId="3" r:id="rId3"/>
  </sheets>
  <definedNames>
    <definedName name="_xlnm.Print_Area" localSheetId="0">Hoja1!$A$4:$P$44</definedName>
    <definedName name="_xlnm.Print_Titles" localSheetId="0">Hoja1!$1:$4</definedName>
  </definedNames>
  <calcPr calcId="144525"/>
</workbook>
</file>

<file path=xl/calcChain.xml><?xml version="1.0" encoding="utf-8"?>
<calcChain xmlns="http://schemas.openxmlformats.org/spreadsheetml/2006/main">
  <c r="N44" i="1" l="1"/>
  <c r="H44" i="1"/>
  <c r="G44" i="1"/>
  <c r="N43" i="1"/>
  <c r="H43" i="1"/>
  <c r="G43" i="1"/>
  <c r="N11" i="1"/>
  <c r="H11" i="1"/>
  <c r="G11" i="1"/>
</calcChain>
</file>

<file path=xl/sharedStrings.xml><?xml version="1.0" encoding="utf-8"?>
<sst xmlns="http://schemas.openxmlformats.org/spreadsheetml/2006/main" count="309" uniqueCount="199">
  <si>
    <t>Pedido</t>
  </si>
  <si>
    <t>Fecha</t>
  </si>
  <si>
    <t>Hora</t>
  </si>
  <si>
    <t>Cliente</t>
  </si>
  <si>
    <t>Direccion</t>
  </si>
  <si>
    <t>Telefono</t>
  </si>
  <si>
    <t>Total</t>
  </si>
  <si>
    <t>Delivery</t>
  </si>
  <si>
    <t>Empresa</t>
  </si>
  <si>
    <t>N┬░ Ped</t>
  </si>
  <si>
    <t>Estado</t>
  </si>
  <si>
    <t>% Desc.</t>
  </si>
  <si>
    <t>Cupon</t>
  </si>
  <si>
    <t>$ Cup</t>
  </si>
  <si>
    <t>$ Efect.</t>
  </si>
  <si>
    <t>$ Entrega</t>
  </si>
  <si>
    <t>Sin Asignar</t>
  </si>
  <si>
    <t>22:02:53</t>
  </si>
  <si>
    <t>Facundo sabga</t>
  </si>
  <si>
    <t/>
  </si>
  <si>
    <t>1533958753</t>
  </si>
  <si>
    <t>PEDIDOS BCN</t>
  </si>
  <si>
    <t>17240</t>
  </si>
  <si>
    <t>Entregado</t>
  </si>
  <si>
    <t>22:36:37</t>
  </si>
  <si>
    <t>Axel Vega</t>
  </si>
  <si>
    <t>1127961729</t>
  </si>
  <si>
    <t>17242</t>
  </si>
  <si>
    <t>23:18:15</t>
  </si>
  <si>
    <t>Matφas miralles</t>
  </si>
  <si>
    <t>Dorrego 3358, Martφnez  Avenida fondo de la legua y Haitφ</t>
  </si>
  <si>
    <t>1121569541</t>
  </si>
  <si>
    <t>17249</t>
  </si>
  <si>
    <t>Rechazado</t>
  </si>
  <si>
    <t>19:42:23</t>
  </si>
  <si>
    <t>Matφas Rivero</t>
  </si>
  <si>
    <t>1160444489</t>
  </si>
  <si>
    <t>17250</t>
  </si>
  <si>
    <t>KUPE20  20.00%</t>
  </si>
  <si>
    <t>14:21:23</t>
  </si>
  <si>
    <t>Mel</t>
  </si>
  <si>
    <t>1126003105</t>
  </si>
  <si>
    <t>17256</t>
  </si>
  <si>
    <t>21:37:26</t>
  </si>
  <si>
    <t>Uziel</t>
  </si>
  <si>
    <t>1155255146</t>
  </si>
  <si>
    <t>17265</t>
  </si>
  <si>
    <t>UZIELSTP  20.00%</t>
  </si>
  <si>
    <t>Totales Repartidor</t>
  </si>
  <si>
    <t xml:space="preserve">RAPIBOY NOCHE                 </t>
  </si>
  <si>
    <t>22:04:05</t>
  </si>
  <si>
    <t>Camila Nu±ez</t>
  </si>
  <si>
    <t>El Zorzal 3796, Villa JosΘ Le≤n Sußrez Segundo piso, tocar bocina Cisneros y estrada</t>
  </si>
  <si>
    <t>1152596205</t>
  </si>
  <si>
    <t>17241</t>
  </si>
  <si>
    <t>13:18:30</t>
  </si>
  <si>
    <t>Lautaro cocozza</t>
  </si>
  <si>
    <t>JosΘ Marφa Verduga 1515, Villa Adelina  La calandria y drago</t>
  </si>
  <si>
    <t>1158121984</t>
  </si>
  <si>
    <t>17234</t>
  </si>
  <si>
    <t>20:16:48</t>
  </si>
  <si>
    <t>Jazmin palmieri</t>
  </si>
  <si>
    <t>Yerbal 963, Villa Adelina Port≤n negro, no hay timbre tocar bocina Mazza y rivera</t>
  </si>
  <si>
    <t>1130122751</t>
  </si>
  <si>
    <t>17235</t>
  </si>
  <si>
    <t>20:37:03</t>
  </si>
  <si>
    <t>Nazareno Farina</t>
  </si>
  <si>
    <t>Olazßbal 290, Boulogne Sur Mer  Medrano y Saenz</t>
  </si>
  <si>
    <t>1133176815</t>
  </si>
  <si>
    <t>17236</t>
  </si>
  <si>
    <t>20:50:08</t>
  </si>
  <si>
    <t>Gonzalo nabal</t>
  </si>
  <si>
    <t>Batalla la Florida 1555, Villa Adelina Duplex 1 Parana y el indio</t>
  </si>
  <si>
    <t>1167250787</t>
  </si>
  <si>
    <t>17237</t>
  </si>
  <si>
    <t>20:58:56</t>
  </si>
  <si>
    <t>Dante appierto</t>
  </si>
  <si>
    <t>Serrano 2021, Boulogne  Blandengues y figueroa alcorta</t>
  </si>
  <si>
    <t>1159652346</t>
  </si>
  <si>
    <t>17238</t>
  </si>
  <si>
    <t>21:46:16</t>
  </si>
  <si>
    <t>RAMON</t>
  </si>
  <si>
    <t>C. MANUEL ESTRADA 9040 ENTRE MALABIA Y JOSE HERNANDEZ</t>
  </si>
  <si>
    <t>1158019690</t>
  </si>
  <si>
    <t>20:22:54</t>
  </si>
  <si>
    <t>Lucas ventura</t>
  </si>
  <si>
    <t>Nuestras Malvinas 1432, Boulogne  Rosario y almirante belbeder</t>
  </si>
  <si>
    <t>1136113515</t>
  </si>
  <si>
    <t>17243</t>
  </si>
  <si>
    <t>20:28:28</t>
  </si>
  <si>
    <t>DAMI┴N LOPEZ</t>
  </si>
  <si>
    <t>CTE, 9 de Julio 3911  Santiago del Estero y Manuel Savio</t>
  </si>
  <si>
    <t>1150246641</t>
  </si>
  <si>
    <t>20:33:19</t>
  </si>
  <si>
    <t>Sebastian</t>
  </si>
  <si>
    <t>Ucrania 2545, Villa Adelina Pasillo, timbre lado derecho Batalla las floridas y dean funes</t>
  </si>
  <si>
    <t>1151611513</t>
  </si>
  <si>
    <t>17245</t>
  </si>
  <si>
    <t>20:48:41</t>
  </si>
  <si>
    <t>Jonathan Rios</t>
  </si>
  <si>
    <t>Santiago del Estero 7279, JosΘ Le≤n Sußrez  Gorriti y Soto y calvo</t>
  </si>
  <si>
    <t>1166262691</t>
  </si>
  <si>
    <t>17246</t>
  </si>
  <si>
    <t>21:36:38</t>
  </si>
  <si>
    <t>Sofia Boria</t>
  </si>
  <si>
    <t>GRA, Juncal 2635  Rio de janeiro y haban</t>
  </si>
  <si>
    <t>1138811131</t>
  </si>
  <si>
    <t>17247</t>
  </si>
  <si>
    <t>22:17:39</t>
  </si>
  <si>
    <t>mateo sanabria</t>
  </si>
  <si>
    <t>Los Ceibos 327, Boulogne Sur Mer  gorriti y wilde</t>
  </si>
  <si>
    <t>1162082976</t>
  </si>
  <si>
    <t>17248</t>
  </si>
  <si>
    <t>21:44:03</t>
  </si>
  <si>
    <t>Diego</t>
  </si>
  <si>
    <t>Juan A. Mazza 1939, Villa Adelina Casa Entre independencia y martin rodriguez</t>
  </si>
  <si>
    <t>1161945385</t>
  </si>
  <si>
    <t>17254</t>
  </si>
  <si>
    <t>22:20:40</t>
  </si>
  <si>
    <t>Mauro Martelletti</t>
  </si>
  <si>
    <t>Independencia 761, Boulogne Sur Mer  Entre thames y wilde</t>
  </si>
  <si>
    <t>1134324666</t>
  </si>
  <si>
    <t>17255</t>
  </si>
  <si>
    <t>20:47:46</t>
  </si>
  <si>
    <t>Letizia Trinchina</t>
  </si>
  <si>
    <t>JosΘ Marφa Verduga 1664, Villa Adelina casa marron rejas negras Drago y Los Paraisos</t>
  </si>
  <si>
    <t>1169815289</t>
  </si>
  <si>
    <t>17251</t>
  </si>
  <si>
    <t>20:51:39</t>
  </si>
  <si>
    <t>RODOLFO DARIO SANCHEZ</t>
  </si>
  <si>
    <t>Gervasio de Posadas 3937, Villa Adelina  Entre Santa Fe y Santiago del Estero</t>
  </si>
  <si>
    <t>1151060525</t>
  </si>
  <si>
    <t>17252</t>
  </si>
  <si>
    <t>21:08:23</t>
  </si>
  <si>
    <t>Carol</t>
  </si>
  <si>
    <t>Cornelio Saavedra 3740, Carapachay Duplex 2 da a la.calle. tocar bocina Prof manuel garcia y rafael obligado</t>
  </si>
  <si>
    <t>1126503148</t>
  </si>
  <si>
    <t>17253</t>
  </si>
  <si>
    <t>19:53:26</t>
  </si>
  <si>
    <t>Majo perez</t>
  </si>
  <si>
    <t>Andrade 1217, JosΘ Le≤n Sußrez Dpto 4 AndrΘs lamas y sarratea</t>
  </si>
  <si>
    <t>1121911397</t>
  </si>
  <si>
    <t>17257</t>
  </si>
  <si>
    <t>20:47:24</t>
  </si>
  <si>
    <t>Manuel Fuente</t>
  </si>
  <si>
    <t>Padre Castiglia 565, Boulogne Sur Mer  Serrano y Darragueira</t>
  </si>
  <si>
    <t>1134041912</t>
  </si>
  <si>
    <t>17258</t>
  </si>
  <si>
    <t>QUIERODESCUENTO  20.00%</t>
  </si>
  <si>
    <t>20:47:28</t>
  </si>
  <si>
    <t>Lautaro</t>
  </si>
  <si>
    <t>Joaquφn V. Gonzßlez 2052, Villa Adelina Tocar bocina. No anda timbre El indio y Ucrania</t>
  </si>
  <si>
    <t>1165830853</t>
  </si>
  <si>
    <t>17259</t>
  </si>
  <si>
    <t>21:39:03</t>
  </si>
  <si>
    <t>Felipe Rivarola</t>
  </si>
  <si>
    <t>Miguel CanΘ 770, Boulogne Sur Mer 3 Wilde y thames</t>
  </si>
  <si>
    <t>1126872202</t>
  </si>
  <si>
    <t>17260</t>
  </si>
  <si>
    <t>22:02:01</t>
  </si>
  <si>
    <t>Emmanuel Souto</t>
  </si>
  <si>
    <t>Juan A. Mazza 1915, Villa Adelina  Martφn Rodrφguez e Independencia</t>
  </si>
  <si>
    <t>1131017280</t>
  </si>
  <si>
    <t>17261</t>
  </si>
  <si>
    <t>22:26:59</t>
  </si>
  <si>
    <t>NACHO</t>
  </si>
  <si>
    <t>ROSARIO 2531 BOULOGNE</t>
  </si>
  <si>
    <t>1133096225</t>
  </si>
  <si>
    <t>22:39:19</t>
  </si>
  <si>
    <t>Milagros sauro</t>
  </si>
  <si>
    <t>Pasaje 751, Boulogne Sur Mer Barrio Mazza y araoz</t>
  </si>
  <si>
    <t>1124760099</t>
  </si>
  <si>
    <t>17267</t>
  </si>
  <si>
    <t>22:41:41</t>
  </si>
  <si>
    <t>Pamela Diaz</t>
  </si>
  <si>
    <t>General Lamadrid 2066, Villa Adelina Rejas bord≤ El indio y Ucrania</t>
  </si>
  <si>
    <t>1141735912</t>
  </si>
  <si>
    <t>17268</t>
  </si>
  <si>
    <t>23:13:48</t>
  </si>
  <si>
    <t>Ignacio</t>
  </si>
  <si>
    <t>darragueira            2386 , boulogne</t>
  </si>
  <si>
    <t>1159572222</t>
  </si>
  <si>
    <t>20:49:34</t>
  </si>
  <si>
    <t>Vicky</t>
  </si>
  <si>
    <t>Plumerillos 1516, Boulogne  Juramento y verduga</t>
  </si>
  <si>
    <t>1168856682</t>
  </si>
  <si>
    <t>17263</t>
  </si>
  <si>
    <t>OSITO  20.00%</t>
  </si>
  <si>
    <t>21:16:40</t>
  </si>
  <si>
    <t>Milagros</t>
  </si>
  <si>
    <t>Matheu 1290, Villa JosΘ Le≤n Sußrez Reja negra Lamas y Serratea</t>
  </si>
  <si>
    <t>1167070716</t>
  </si>
  <si>
    <t>17264</t>
  </si>
  <si>
    <t>21:55:17</t>
  </si>
  <si>
    <t>Naiara</t>
  </si>
  <si>
    <t>Yerbal 118, Boulogne Sur Mer Casa rejas negras mano izquierda Godoy cruz y salguero</t>
  </si>
  <si>
    <t>1125620103</t>
  </si>
  <si>
    <t>17266</t>
  </si>
  <si>
    <t>Reporte de Deliverys del 01/04/2026 al 05/04/2026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</si>
</sst>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#0.00"/>
  </numFmts>
  <fonts count="3" x14ac:knownFonts="1">
    <font>
      <sz val="11"/>
      <color theme="1"/>
      <name val="Calibri"/>
      <family val="2"/>
      <scheme val="minor"/>
    </font>
    <font>
      <sz val="7"/>
      <color theme="1"/>
      <name val="ARIAL"/>
      <family val="2"/>
    </font>
    <font>
      <b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4" fontId="1" fillId="0" borderId="1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4" fontId="2" fillId="0" borderId="0" xfId="0" applyNumberFormat="1" applyFont="1" applyAlignment="1">
      <alignment horizontal="right" vertical="top"/>
    </xf>
    <xf numFmtId="4" fontId="1" fillId="0" borderId="1" xfId="0" applyNumberFormat="1" applyFont="1" applyBorder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4" fontId="1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49" fontId="1" fillId="0" borderId="2" xfId="0" applyNumberFormat="1" applyFont="1" applyBorder="1" applyAlignment="1">
      <alignment horizontal="left" vertical="top"/>
    </xf>
    <xf numFmtId="4" fontId="2" fillId="0" borderId="2" xfId="0" applyNumberFormat="1" applyFont="1" applyBorder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4" fontId="1" fillId="0" borderId="2" xfId="0" applyNumberFormat="1" applyFont="1" applyBorder="1" applyAlignment="1">
      <alignment horizontal="right" vertical="top"/>
    </xf>
    <xf numFmtId="164" fontId="2" fillId="0" borderId="3" xfId="0" applyNumberFormat="1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"/>
  <sheetViews>
    <sheetView tabSelected="1" workbookViewId="0">
      <selection sqref="A1:P1"/>
    </sheetView>
  </sheetViews>
  <sheetFormatPr baseColWidth="10" defaultRowHeight="7" x14ac:dyDescent="0.35"/>
  <cols>
    <col min="1" max="1" width="4" style="4" bestFit="1" customWidth="1"/>
    <col min="2" max="2" width="3.54296875" style="2" bestFit="1" customWidth="1"/>
    <col min="3" max="3" width="4.453125" style="6" bestFit="1" customWidth="1"/>
    <col min="4" max="4" width="14.6328125" style="6" bestFit="1" customWidth="1"/>
    <col min="5" max="5" width="52.54296875" style="6" bestFit="1" customWidth="1"/>
    <col min="6" max="6" width="5.90625" style="6" bestFit="1" customWidth="1"/>
    <col min="7" max="7" width="7.453125" style="8" bestFit="1" customWidth="1"/>
    <col min="8" max="8" width="6.453125" style="8" bestFit="1" customWidth="1"/>
    <col min="9" max="9" width="7.81640625" style="6" bestFit="1" customWidth="1"/>
    <col min="10" max="10" width="5.36328125" style="6" bestFit="1" customWidth="1"/>
    <col min="11" max="11" width="5.90625" style="6" bestFit="1" customWidth="1"/>
    <col min="12" max="12" width="4.453125" style="10" bestFit="1" customWidth="1"/>
    <col min="13" max="13" width="15.26953125" style="6" bestFit="1" customWidth="1"/>
    <col min="14" max="14" width="5" style="12" bestFit="1" customWidth="1"/>
    <col min="15" max="15" width="4.1796875" style="12" bestFit="1" customWidth="1"/>
    <col min="16" max="16" width="5.1796875" style="12" bestFit="1" customWidth="1"/>
    <col min="17" max="16384" width="10.90625" style="1"/>
  </cols>
  <sheetData>
    <row r="1" spans="1:16" ht="7.5" thickBot="1" x14ac:dyDescent="0.4">
      <c r="A1" s="23" t="s">
        <v>198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x14ac:dyDescent="0.35">
      <c r="A2" s="5" t="s">
        <v>0</v>
      </c>
      <c r="B2" s="3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9" t="s">
        <v>6</v>
      </c>
      <c r="H2" s="9" t="s">
        <v>7</v>
      </c>
      <c r="I2" s="7" t="s">
        <v>8</v>
      </c>
      <c r="J2" s="7" t="s">
        <v>9</v>
      </c>
      <c r="K2" s="7" t="s">
        <v>10</v>
      </c>
      <c r="L2" s="11" t="s">
        <v>11</v>
      </c>
      <c r="M2" s="7" t="s">
        <v>12</v>
      </c>
      <c r="N2" s="9" t="s">
        <v>13</v>
      </c>
      <c r="O2" s="9" t="s">
        <v>14</v>
      </c>
      <c r="P2" s="9" t="s">
        <v>15</v>
      </c>
    </row>
    <row r="4" spans="1:16" x14ac:dyDescent="0.35">
      <c r="A4" s="13" t="s">
        <v>16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 x14ac:dyDescent="0.35">
      <c r="A5" s="4">
        <v>17240</v>
      </c>
      <c r="B5" s="2">
        <v>46113</v>
      </c>
      <c r="C5" s="6" t="s">
        <v>17</v>
      </c>
      <c r="D5" s="6" t="s">
        <v>18</v>
      </c>
      <c r="E5" s="6" t="s">
        <v>19</v>
      </c>
      <c r="F5" s="6" t="s">
        <v>20</v>
      </c>
      <c r="G5" s="8">
        <v>30400</v>
      </c>
      <c r="H5" s="8">
        <v>0</v>
      </c>
      <c r="I5" s="6" t="s">
        <v>21</v>
      </c>
      <c r="J5" s="6" t="s">
        <v>22</v>
      </c>
      <c r="K5" s="6" t="s">
        <v>23</v>
      </c>
      <c r="L5" s="10">
        <v>0</v>
      </c>
      <c r="M5" s="6" t="s">
        <v>19</v>
      </c>
      <c r="N5" s="12">
        <v>7600</v>
      </c>
      <c r="O5" s="12">
        <v>0</v>
      </c>
      <c r="P5" s="12">
        <v>0</v>
      </c>
    </row>
    <row r="6" spans="1:16" x14ac:dyDescent="0.35">
      <c r="A6" s="4">
        <v>17242</v>
      </c>
      <c r="B6" s="2">
        <v>46113</v>
      </c>
      <c r="C6" s="6" t="s">
        <v>24</v>
      </c>
      <c r="D6" s="6" t="s">
        <v>25</v>
      </c>
      <c r="E6" s="6" t="s">
        <v>19</v>
      </c>
      <c r="F6" s="6" t="s">
        <v>26</v>
      </c>
      <c r="G6" s="8">
        <v>36000</v>
      </c>
      <c r="H6" s="8">
        <v>0</v>
      </c>
      <c r="I6" s="6" t="s">
        <v>21</v>
      </c>
      <c r="J6" s="6" t="s">
        <v>27</v>
      </c>
      <c r="K6" s="6" t="s">
        <v>23</v>
      </c>
      <c r="L6" s="10">
        <v>0</v>
      </c>
      <c r="M6" s="6" t="s">
        <v>19</v>
      </c>
      <c r="N6" s="12">
        <v>0</v>
      </c>
      <c r="O6" s="12">
        <v>0</v>
      </c>
      <c r="P6" s="12">
        <v>0</v>
      </c>
    </row>
    <row r="7" spans="1:16" x14ac:dyDescent="0.35">
      <c r="A7" s="4">
        <v>17249</v>
      </c>
      <c r="B7" s="2">
        <v>46114</v>
      </c>
      <c r="C7" s="6" t="s">
        <v>28</v>
      </c>
      <c r="D7" s="6" t="s">
        <v>29</v>
      </c>
      <c r="E7" s="6" t="s">
        <v>30</v>
      </c>
      <c r="F7" s="6" t="s">
        <v>31</v>
      </c>
      <c r="G7" s="8">
        <v>28800</v>
      </c>
      <c r="H7" s="8">
        <v>4700</v>
      </c>
      <c r="I7" s="6" t="s">
        <v>21</v>
      </c>
      <c r="J7" s="6" t="s">
        <v>32</v>
      </c>
      <c r="K7" s="6" t="s">
        <v>33</v>
      </c>
      <c r="L7" s="10">
        <v>0</v>
      </c>
      <c r="M7" s="6" t="s">
        <v>19</v>
      </c>
      <c r="N7" s="12">
        <v>0</v>
      </c>
      <c r="O7" s="12">
        <v>0</v>
      </c>
      <c r="P7" s="12">
        <v>0</v>
      </c>
    </row>
    <row r="8" spans="1:16" x14ac:dyDescent="0.35">
      <c r="A8" s="4">
        <v>17250</v>
      </c>
      <c r="B8" s="2">
        <v>46115</v>
      </c>
      <c r="C8" s="6" t="s">
        <v>34</v>
      </c>
      <c r="D8" s="6" t="s">
        <v>35</v>
      </c>
      <c r="E8" s="6" t="s">
        <v>19</v>
      </c>
      <c r="F8" s="6" t="s">
        <v>36</v>
      </c>
      <c r="G8" s="8">
        <v>26400</v>
      </c>
      <c r="H8" s="8">
        <v>0</v>
      </c>
      <c r="I8" s="6" t="s">
        <v>21</v>
      </c>
      <c r="J8" s="6" t="s">
        <v>37</v>
      </c>
      <c r="K8" s="6" t="s">
        <v>23</v>
      </c>
      <c r="L8" s="10">
        <v>0</v>
      </c>
      <c r="M8" s="6" t="s">
        <v>38</v>
      </c>
      <c r="N8" s="12">
        <v>6600</v>
      </c>
      <c r="O8" s="12">
        <v>0</v>
      </c>
      <c r="P8" s="12">
        <v>0</v>
      </c>
    </row>
    <row r="9" spans="1:16" x14ac:dyDescent="0.35">
      <c r="A9" s="4">
        <v>17256</v>
      </c>
      <c r="B9" s="2">
        <v>46116</v>
      </c>
      <c r="C9" s="6" t="s">
        <v>39</v>
      </c>
      <c r="D9" s="6" t="s">
        <v>40</v>
      </c>
      <c r="E9" s="6" t="s">
        <v>19</v>
      </c>
      <c r="F9" s="6" t="s">
        <v>41</v>
      </c>
      <c r="G9" s="8">
        <v>15800</v>
      </c>
      <c r="H9" s="8">
        <v>0</v>
      </c>
      <c r="I9" s="6" t="s">
        <v>21</v>
      </c>
      <c r="J9" s="6" t="s">
        <v>42</v>
      </c>
      <c r="K9" s="6" t="s">
        <v>23</v>
      </c>
      <c r="L9" s="10">
        <v>0</v>
      </c>
      <c r="M9" s="6" t="s">
        <v>19</v>
      </c>
      <c r="N9" s="12">
        <v>0</v>
      </c>
      <c r="O9" s="12">
        <v>0</v>
      </c>
      <c r="P9" s="12">
        <v>0</v>
      </c>
    </row>
    <row r="10" spans="1:16" x14ac:dyDescent="0.35">
      <c r="A10" s="4">
        <v>17265</v>
      </c>
      <c r="B10" s="2">
        <v>46117</v>
      </c>
      <c r="C10" s="6" t="s">
        <v>43</v>
      </c>
      <c r="D10" s="6" t="s">
        <v>44</v>
      </c>
      <c r="E10" s="6" t="s">
        <v>19</v>
      </c>
      <c r="F10" s="6" t="s">
        <v>45</v>
      </c>
      <c r="G10" s="8">
        <v>48880</v>
      </c>
      <c r="H10" s="8">
        <v>0</v>
      </c>
      <c r="I10" s="6" t="s">
        <v>21</v>
      </c>
      <c r="J10" s="6" t="s">
        <v>46</v>
      </c>
      <c r="K10" s="6" t="s">
        <v>23</v>
      </c>
      <c r="L10" s="10">
        <v>0</v>
      </c>
      <c r="M10" s="6" t="s">
        <v>47</v>
      </c>
      <c r="N10" s="12">
        <v>12220</v>
      </c>
      <c r="O10" s="12">
        <v>0</v>
      </c>
      <c r="P10" s="12">
        <v>0</v>
      </c>
    </row>
    <row r="11" spans="1:16" x14ac:dyDescent="0.35">
      <c r="A11" s="15" t="s">
        <v>48</v>
      </c>
      <c r="B11" s="16"/>
      <c r="C11" s="16"/>
      <c r="D11" s="16"/>
      <c r="E11" s="16"/>
      <c r="F11" s="16"/>
      <c r="G11" s="8">
        <f>SUBTOTAL(9,G5:G10)</f>
        <v>186280</v>
      </c>
      <c r="H11" s="8">
        <f>SUBTOTAL(9,H5:H10)</f>
        <v>4700</v>
      </c>
      <c r="N11" s="12">
        <f>SUBTOTAL(9,N5:N10)</f>
        <v>26420</v>
      </c>
    </row>
    <row r="12" spans="1:16" x14ac:dyDescent="0.35">
      <c r="A12" s="13" t="s">
        <v>49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16" x14ac:dyDescent="0.35">
      <c r="A13" s="4">
        <v>17241</v>
      </c>
      <c r="B13" s="2">
        <v>46113</v>
      </c>
      <c r="C13" s="6" t="s">
        <v>50</v>
      </c>
      <c r="D13" s="6" t="s">
        <v>51</v>
      </c>
      <c r="E13" s="6" t="s">
        <v>52</v>
      </c>
      <c r="F13" s="6" t="s">
        <v>53</v>
      </c>
      <c r="G13" s="8">
        <v>38100</v>
      </c>
      <c r="H13" s="8">
        <v>4700</v>
      </c>
      <c r="I13" s="6" t="s">
        <v>21</v>
      </c>
      <c r="J13" s="6" t="s">
        <v>54</v>
      </c>
      <c r="K13" s="6" t="s">
        <v>23</v>
      </c>
      <c r="L13" s="10">
        <v>0</v>
      </c>
      <c r="M13" s="6" t="s">
        <v>19</v>
      </c>
      <c r="N13" s="12">
        <v>0</v>
      </c>
      <c r="O13" s="12">
        <v>0</v>
      </c>
      <c r="P13" s="12">
        <v>0</v>
      </c>
    </row>
    <row r="14" spans="1:16" x14ac:dyDescent="0.35">
      <c r="A14" s="4">
        <v>17234</v>
      </c>
      <c r="B14" s="2">
        <v>46113</v>
      </c>
      <c r="C14" s="6" t="s">
        <v>55</v>
      </c>
      <c r="D14" s="6" t="s">
        <v>56</v>
      </c>
      <c r="E14" s="6" t="s">
        <v>57</v>
      </c>
      <c r="F14" s="6" t="s">
        <v>58</v>
      </c>
      <c r="G14" s="8">
        <v>31700</v>
      </c>
      <c r="H14" s="8">
        <v>4700</v>
      </c>
      <c r="I14" s="6" t="s">
        <v>21</v>
      </c>
      <c r="J14" s="6" t="s">
        <v>59</v>
      </c>
      <c r="K14" s="6" t="s">
        <v>23</v>
      </c>
      <c r="L14" s="10">
        <v>0</v>
      </c>
      <c r="M14" s="6" t="s">
        <v>19</v>
      </c>
      <c r="N14" s="12">
        <v>0</v>
      </c>
      <c r="O14" s="12">
        <v>0</v>
      </c>
      <c r="P14" s="12">
        <v>0</v>
      </c>
    </row>
    <row r="15" spans="1:16" x14ac:dyDescent="0.35">
      <c r="A15" s="4">
        <v>17235</v>
      </c>
      <c r="B15" s="2">
        <v>46113</v>
      </c>
      <c r="C15" s="6" t="s">
        <v>60</v>
      </c>
      <c r="D15" s="6" t="s">
        <v>61</v>
      </c>
      <c r="E15" s="6" t="s">
        <v>62</v>
      </c>
      <c r="F15" s="6" t="s">
        <v>63</v>
      </c>
      <c r="G15" s="8">
        <v>19340</v>
      </c>
      <c r="H15" s="8">
        <v>4700</v>
      </c>
      <c r="I15" s="6" t="s">
        <v>21</v>
      </c>
      <c r="J15" s="6" t="s">
        <v>64</v>
      </c>
      <c r="K15" s="6" t="s">
        <v>23</v>
      </c>
      <c r="L15" s="10">
        <v>0</v>
      </c>
      <c r="M15" s="6" t="s">
        <v>38</v>
      </c>
      <c r="N15" s="12">
        <v>3660</v>
      </c>
      <c r="O15" s="12">
        <v>0</v>
      </c>
      <c r="P15" s="12">
        <v>0</v>
      </c>
    </row>
    <row r="16" spans="1:16" x14ac:dyDescent="0.35">
      <c r="A16" s="4">
        <v>17236</v>
      </c>
      <c r="B16" s="2">
        <v>46113</v>
      </c>
      <c r="C16" s="6" t="s">
        <v>65</v>
      </c>
      <c r="D16" s="6" t="s">
        <v>66</v>
      </c>
      <c r="E16" s="6" t="s">
        <v>67</v>
      </c>
      <c r="F16" s="6" t="s">
        <v>68</v>
      </c>
      <c r="G16" s="8">
        <v>46700</v>
      </c>
      <c r="H16" s="8">
        <v>4700</v>
      </c>
      <c r="I16" s="6" t="s">
        <v>21</v>
      </c>
      <c r="J16" s="6" t="s">
        <v>69</v>
      </c>
      <c r="K16" s="6" t="s">
        <v>23</v>
      </c>
      <c r="L16" s="10">
        <v>0</v>
      </c>
      <c r="M16" s="6" t="s">
        <v>19</v>
      </c>
      <c r="N16" s="12">
        <v>0</v>
      </c>
      <c r="O16" s="12">
        <v>0</v>
      </c>
      <c r="P16" s="12">
        <v>0</v>
      </c>
    </row>
    <row r="17" spans="1:16" x14ac:dyDescent="0.35">
      <c r="A17" s="4">
        <v>17237</v>
      </c>
      <c r="B17" s="2">
        <v>46113</v>
      </c>
      <c r="C17" s="6" t="s">
        <v>70</v>
      </c>
      <c r="D17" s="6" t="s">
        <v>71</v>
      </c>
      <c r="E17" s="6" t="s">
        <v>72</v>
      </c>
      <c r="F17" s="6" t="s">
        <v>73</v>
      </c>
      <c r="G17" s="8">
        <v>46700</v>
      </c>
      <c r="H17" s="8">
        <v>4700</v>
      </c>
      <c r="I17" s="6" t="s">
        <v>21</v>
      </c>
      <c r="J17" s="6" t="s">
        <v>74</v>
      </c>
      <c r="K17" s="6" t="s">
        <v>23</v>
      </c>
      <c r="L17" s="10">
        <v>0</v>
      </c>
      <c r="M17" s="6" t="s">
        <v>19</v>
      </c>
      <c r="N17" s="12">
        <v>0</v>
      </c>
      <c r="O17" s="12">
        <v>0</v>
      </c>
      <c r="P17" s="12">
        <v>0</v>
      </c>
    </row>
    <row r="18" spans="1:16" x14ac:dyDescent="0.35">
      <c r="A18" s="4">
        <v>17238</v>
      </c>
      <c r="B18" s="2">
        <v>46113</v>
      </c>
      <c r="C18" s="6" t="s">
        <v>75</v>
      </c>
      <c r="D18" s="6" t="s">
        <v>76</v>
      </c>
      <c r="E18" s="6" t="s">
        <v>77</v>
      </c>
      <c r="F18" s="6" t="s">
        <v>78</v>
      </c>
      <c r="G18" s="8">
        <v>58800</v>
      </c>
      <c r="H18" s="8">
        <v>4700</v>
      </c>
      <c r="I18" s="6" t="s">
        <v>21</v>
      </c>
      <c r="J18" s="6" t="s">
        <v>79</v>
      </c>
      <c r="K18" s="6" t="s">
        <v>23</v>
      </c>
      <c r="L18" s="10">
        <v>0</v>
      </c>
      <c r="M18" s="6" t="s">
        <v>19</v>
      </c>
      <c r="N18" s="12">
        <v>0</v>
      </c>
      <c r="O18" s="12">
        <v>0</v>
      </c>
      <c r="P18" s="12">
        <v>0</v>
      </c>
    </row>
    <row r="19" spans="1:16" x14ac:dyDescent="0.35">
      <c r="A19" s="4">
        <v>17239</v>
      </c>
      <c r="B19" s="2">
        <v>46113</v>
      </c>
      <c r="C19" s="6" t="s">
        <v>80</v>
      </c>
      <c r="D19" s="6" t="s">
        <v>81</v>
      </c>
      <c r="E19" s="6" t="s">
        <v>82</v>
      </c>
      <c r="F19" s="6" t="s">
        <v>83</v>
      </c>
      <c r="G19" s="8">
        <v>56600</v>
      </c>
      <c r="H19" s="8">
        <v>4700</v>
      </c>
      <c r="I19" s="6" t="s">
        <v>19</v>
      </c>
      <c r="J19" s="6" t="s">
        <v>19</v>
      </c>
      <c r="K19" s="6" t="s">
        <v>23</v>
      </c>
      <c r="L19" s="10">
        <v>0</v>
      </c>
      <c r="M19" s="6" t="s">
        <v>19</v>
      </c>
      <c r="N19" s="12">
        <v>0</v>
      </c>
      <c r="O19" s="12">
        <v>0</v>
      </c>
      <c r="P19" s="12">
        <v>0</v>
      </c>
    </row>
    <row r="20" spans="1:16" x14ac:dyDescent="0.35">
      <c r="A20" s="4">
        <v>17243</v>
      </c>
      <c r="B20" s="2">
        <v>46114</v>
      </c>
      <c r="C20" s="6" t="s">
        <v>84</v>
      </c>
      <c r="D20" s="6" t="s">
        <v>85</v>
      </c>
      <c r="E20" s="6" t="s">
        <v>86</v>
      </c>
      <c r="F20" s="6" t="s">
        <v>87</v>
      </c>
      <c r="G20" s="8">
        <v>24700</v>
      </c>
      <c r="H20" s="8">
        <v>4700</v>
      </c>
      <c r="I20" s="6" t="s">
        <v>21</v>
      </c>
      <c r="J20" s="6" t="s">
        <v>88</v>
      </c>
      <c r="K20" s="6" t="s">
        <v>23</v>
      </c>
      <c r="L20" s="10">
        <v>0</v>
      </c>
      <c r="M20" s="6" t="s">
        <v>19</v>
      </c>
      <c r="N20" s="12">
        <v>0</v>
      </c>
      <c r="O20" s="12">
        <v>0</v>
      </c>
      <c r="P20" s="12">
        <v>0</v>
      </c>
    </row>
    <row r="21" spans="1:16" x14ac:dyDescent="0.35">
      <c r="A21" s="4">
        <v>17244</v>
      </c>
      <c r="B21" s="2">
        <v>46114</v>
      </c>
      <c r="C21" s="6" t="s">
        <v>89</v>
      </c>
      <c r="D21" s="6" t="s">
        <v>90</v>
      </c>
      <c r="E21" s="6" t="s">
        <v>91</v>
      </c>
      <c r="F21" s="6" t="s">
        <v>92</v>
      </c>
      <c r="G21" s="8">
        <v>88900</v>
      </c>
      <c r="H21" s="8">
        <v>4700</v>
      </c>
      <c r="I21" s="6" t="s">
        <v>19</v>
      </c>
      <c r="J21" s="6" t="s">
        <v>19</v>
      </c>
      <c r="K21" s="6" t="s">
        <v>23</v>
      </c>
      <c r="L21" s="10">
        <v>0</v>
      </c>
      <c r="M21" s="6" t="s">
        <v>19</v>
      </c>
      <c r="N21" s="12">
        <v>0</v>
      </c>
      <c r="O21" s="12">
        <v>0</v>
      </c>
      <c r="P21" s="12">
        <v>0</v>
      </c>
    </row>
    <row r="22" spans="1:16" x14ac:dyDescent="0.35">
      <c r="A22" s="4">
        <v>17245</v>
      </c>
      <c r="B22" s="2">
        <v>46114</v>
      </c>
      <c r="C22" s="6" t="s">
        <v>93</v>
      </c>
      <c r="D22" s="6" t="s">
        <v>94</v>
      </c>
      <c r="E22" s="6" t="s">
        <v>95</v>
      </c>
      <c r="F22" s="6" t="s">
        <v>96</v>
      </c>
      <c r="G22" s="8">
        <v>40100</v>
      </c>
      <c r="H22" s="8">
        <v>4700</v>
      </c>
      <c r="I22" s="6" t="s">
        <v>21</v>
      </c>
      <c r="J22" s="6" t="s">
        <v>97</v>
      </c>
      <c r="K22" s="6" t="s">
        <v>23</v>
      </c>
      <c r="L22" s="10">
        <v>0</v>
      </c>
      <c r="M22" s="6" t="s">
        <v>19</v>
      </c>
      <c r="N22" s="12">
        <v>0</v>
      </c>
      <c r="O22" s="12">
        <v>0</v>
      </c>
      <c r="P22" s="12">
        <v>0</v>
      </c>
    </row>
    <row r="23" spans="1:16" x14ac:dyDescent="0.35">
      <c r="A23" s="4">
        <v>17246</v>
      </c>
      <c r="B23" s="2">
        <v>46114</v>
      </c>
      <c r="C23" s="6" t="s">
        <v>98</v>
      </c>
      <c r="D23" s="6" t="s">
        <v>99</v>
      </c>
      <c r="E23" s="6" t="s">
        <v>100</v>
      </c>
      <c r="F23" s="6" t="s">
        <v>101</v>
      </c>
      <c r="G23" s="8">
        <v>22140</v>
      </c>
      <c r="H23" s="8">
        <v>6700</v>
      </c>
      <c r="I23" s="6" t="s">
        <v>21</v>
      </c>
      <c r="J23" s="6" t="s">
        <v>102</v>
      </c>
      <c r="K23" s="6" t="s">
        <v>23</v>
      </c>
      <c r="L23" s="10">
        <v>0</v>
      </c>
      <c r="M23" s="6" t="s">
        <v>19</v>
      </c>
      <c r="N23" s="12">
        <v>3860</v>
      </c>
      <c r="O23" s="12">
        <v>0</v>
      </c>
      <c r="P23" s="12">
        <v>0</v>
      </c>
    </row>
    <row r="24" spans="1:16" x14ac:dyDescent="0.35">
      <c r="A24" s="4">
        <v>17247</v>
      </c>
      <c r="B24" s="2">
        <v>46114</v>
      </c>
      <c r="C24" s="6" t="s">
        <v>103</v>
      </c>
      <c r="D24" s="6" t="s">
        <v>104</v>
      </c>
      <c r="E24" s="6" t="s">
        <v>105</v>
      </c>
      <c r="F24" s="6" t="s">
        <v>106</v>
      </c>
      <c r="G24" s="8">
        <v>24000</v>
      </c>
      <c r="H24" s="8">
        <v>4700</v>
      </c>
      <c r="I24" s="6" t="s">
        <v>21</v>
      </c>
      <c r="J24" s="6" t="s">
        <v>107</v>
      </c>
      <c r="K24" s="6" t="s">
        <v>23</v>
      </c>
      <c r="L24" s="10">
        <v>0</v>
      </c>
      <c r="M24" s="6" t="s">
        <v>19</v>
      </c>
      <c r="N24" s="12">
        <v>0</v>
      </c>
      <c r="O24" s="12">
        <v>0</v>
      </c>
      <c r="P24" s="12">
        <v>0</v>
      </c>
    </row>
    <row r="25" spans="1:16" x14ac:dyDescent="0.35">
      <c r="A25" s="4">
        <v>17248</v>
      </c>
      <c r="B25" s="2">
        <v>46114</v>
      </c>
      <c r="C25" s="6" t="s">
        <v>108</v>
      </c>
      <c r="D25" s="6" t="s">
        <v>109</v>
      </c>
      <c r="E25" s="6" t="s">
        <v>110</v>
      </c>
      <c r="F25" s="6" t="s">
        <v>111</v>
      </c>
      <c r="G25" s="8">
        <v>26780</v>
      </c>
      <c r="H25" s="8">
        <v>4700</v>
      </c>
      <c r="I25" s="6" t="s">
        <v>21</v>
      </c>
      <c r="J25" s="6" t="s">
        <v>112</v>
      </c>
      <c r="K25" s="6" t="s">
        <v>23</v>
      </c>
      <c r="L25" s="10">
        <v>0</v>
      </c>
      <c r="M25" s="6" t="s">
        <v>19</v>
      </c>
      <c r="N25" s="12">
        <v>5520</v>
      </c>
      <c r="O25" s="12">
        <v>0</v>
      </c>
      <c r="P25" s="12">
        <v>0</v>
      </c>
    </row>
    <row r="26" spans="1:16" x14ac:dyDescent="0.35">
      <c r="A26" s="4">
        <v>17254</v>
      </c>
      <c r="B26" s="2">
        <v>46115</v>
      </c>
      <c r="C26" s="6" t="s">
        <v>113</v>
      </c>
      <c r="D26" s="6" t="s">
        <v>114</v>
      </c>
      <c r="E26" s="6" t="s">
        <v>115</v>
      </c>
      <c r="F26" s="6" t="s">
        <v>116</v>
      </c>
      <c r="G26" s="8">
        <v>27500</v>
      </c>
      <c r="H26" s="8">
        <v>4700</v>
      </c>
      <c r="I26" s="6" t="s">
        <v>21</v>
      </c>
      <c r="J26" s="6" t="s">
        <v>117</v>
      </c>
      <c r="K26" s="6" t="s">
        <v>23</v>
      </c>
      <c r="L26" s="10">
        <v>0</v>
      </c>
      <c r="M26" s="6" t="s">
        <v>19</v>
      </c>
      <c r="N26" s="12">
        <v>0</v>
      </c>
      <c r="O26" s="12">
        <v>0</v>
      </c>
      <c r="P26" s="12">
        <v>0</v>
      </c>
    </row>
    <row r="27" spans="1:16" x14ac:dyDescent="0.35">
      <c r="A27" s="4">
        <v>17255</v>
      </c>
      <c r="B27" s="2">
        <v>46115</v>
      </c>
      <c r="C27" s="6" t="s">
        <v>118</v>
      </c>
      <c r="D27" s="6" t="s">
        <v>119</v>
      </c>
      <c r="E27" s="6" t="s">
        <v>120</v>
      </c>
      <c r="F27" s="6" t="s">
        <v>121</v>
      </c>
      <c r="G27" s="8">
        <v>48100</v>
      </c>
      <c r="H27" s="8">
        <v>4700</v>
      </c>
      <c r="I27" s="6" t="s">
        <v>21</v>
      </c>
      <c r="J27" s="6" t="s">
        <v>122</v>
      </c>
      <c r="K27" s="6" t="s">
        <v>23</v>
      </c>
      <c r="L27" s="10">
        <v>0</v>
      </c>
      <c r="M27" s="6" t="s">
        <v>19</v>
      </c>
      <c r="N27" s="12">
        <v>0</v>
      </c>
      <c r="O27" s="12">
        <v>0</v>
      </c>
      <c r="P27" s="12">
        <v>0</v>
      </c>
    </row>
    <row r="28" spans="1:16" x14ac:dyDescent="0.35">
      <c r="A28" s="4">
        <v>17251</v>
      </c>
      <c r="B28" s="2">
        <v>46115</v>
      </c>
      <c r="C28" s="6" t="s">
        <v>123</v>
      </c>
      <c r="D28" s="6" t="s">
        <v>124</v>
      </c>
      <c r="E28" s="6" t="s">
        <v>125</v>
      </c>
      <c r="F28" s="6" t="s">
        <v>126</v>
      </c>
      <c r="G28" s="8">
        <v>22700</v>
      </c>
      <c r="H28" s="8">
        <v>4700</v>
      </c>
      <c r="I28" s="6" t="s">
        <v>21</v>
      </c>
      <c r="J28" s="6" t="s">
        <v>127</v>
      </c>
      <c r="K28" s="6" t="s">
        <v>23</v>
      </c>
      <c r="L28" s="10">
        <v>0</v>
      </c>
      <c r="M28" s="6" t="s">
        <v>19</v>
      </c>
      <c r="N28" s="12">
        <v>0</v>
      </c>
      <c r="O28" s="12">
        <v>0</v>
      </c>
      <c r="P28" s="12">
        <v>0</v>
      </c>
    </row>
    <row r="29" spans="1:16" x14ac:dyDescent="0.35">
      <c r="A29" s="4">
        <v>17252</v>
      </c>
      <c r="B29" s="2">
        <v>46115</v>
      </c>
      <c r="C29" s="6" t="s">
        <v>128</v>
      </c>
      <c r="D29" s="6" t="s">
        <v>129</v>
      </c>
      <c r="E29" s="6" t="s">
        <v>130</v>
      </c>
      <c r="F29" s="6" t="s">
        <v>131</v>
      </c>
      <c r="G29" s="8">
        <v>54400</v>
      </c>
      <c r="H29" s="8">
        <v>4700</v>
      </c>
      <c r="I29" s="6" t="s">
        <v>21</v>
      </c>
      <c r="J29" s="6" t="s">
        <v>132</v>
      </c>
      <c r="K29" s="6" t="s">
        <v>23</v>
      </c>
      <c r="L29" s="10">
        <v>0</v>
      </c>
      <c r="M29" s="6" t="s">
        <v>19</v>
      </c>
      <c r="N29" s="12">
        <v>0</v>
      </c>
      <c r="O29" s="12">
        <v>0</v>
      </c>
      <c r="P29" s="12">
        <v>0</v>
      </c>
    </row>
    <row r="30" spans="1:16" x14ac:dyDescent="0.35">
      <c r="A30" s="4">
        <v>17253</v>
      </c>
      <c r="B30" s="2">
        <v>46115</v>
      </c>
      <c r="C30" s="6" t="s">
        <v>133</v>
      </c>
      <c r="D30" s="6" t="s">
        <v>134</v>
      </c>
      <c r="E30" s="6" t="s">
        <v>135</v>
      </c>
      <c r="F30" s="6" t="s">
        <v>136</v>
      </c>
      <c r="G30" s="8">
        <v>31200</v>
      </c>
      <c r="H30" s="8">
        <v>4700</v>
      </c>
      <c r="I30" s="6" t="s">
        <v>21</v>
      </c>
      <c r="J30" s="6" t="s">
        <v>137</v>
      </c>
      <c r="K30" s="6" t="s">
        <v>23</v>
      </c>
      <c r="L30" s="10">
        <v>0</v>
      </c>
      <c r="M30" s="6" t="s">
        <v>19</v>
      </c>
      <c r="N30" s="12">
        <v>0</v>
      </c>
      <c r="O30" s="12">
        <v>0</v>
      </c>
      <c r="P30" s="12">
        <v>0</v>
      </c>
    </row>
    <row r="31" spans="1:16" x14ac:dyDescent="0.35">
      <c r="A31" s="4">
        <v>17257</v>
      </c>
      <c r="B31" s="2">
        <v>46116</v>
      </c>
      <c r="C31" s="6" t="s">
        <v>138</v>
      </c>
      <c r="D31" s="6" t="s">
        <v>139</v>
      </c>
      <c r="E31" s="6" t="s">
        <v>140</v>
      </c>
      <c r="F31" s="6" t="s">
        <v>141</v>
      </c>
      <c r="G31" s="8">
        <v>32800</v>
      </c>
      <c r="H31" s="8">
        <v>4700</v>
      </c>
      <c r="I31" s="6" t="s">
        <v>21</v>
      </c>
      <c r="J31" s="6" t="s">
        <v>142</v>
      </c>
      <c r="K31" s="6" t="s">
        <v>23</v>
      </c>
      <c r="L31" s="10">
        <v>0</v>
      </c>
      <c r="M31" s="6" t="s">
        <v>19</v>
      </c>
      <c r="N31" s="12">
        <v>0</v>
      </c>
      <c r="O31" s="12">
        <v>0</v>
      </c>
      <c r="P31" s="12">
        <v>0</v>
      </c>
    </row>
    <row r="32" spans="1:16" x14ac:dyDescent="0.35">
      <c r="A32" s="4">
        <v>17258</v>
      </c>
      <c r="B32" s="2">
        <v>46116</v>
      </c>
      <c r="C32" s="6" t="s">
        <v>143</v>
      </c>
      <c r="D32" s="6" t="s">
        <v>144</v>
      </c>
      <c r="E32" s="6" t="s">
        <v>145</v>
      </c>
      <c r="F32" s="6" t="s">
        <v>146</v>
      </c>
      <c r="G32" s="8">
        <v>46780</v>
      </c>
      <c r="H32" s="8">
        <v>4700</v>
      </c>
      <c r="I32" s="6" t="s">
        <v>21</v>
      </c>
      <c r="J32" s="6" t="s">
        <v>147</v>
      </c>
      <c r="K32" s="6" t="s">
        <v>23</v>
      </c>
      <c r="L32" s="10">
        <v>0</v>
      </c>
      <c r="M32" s="6" t="s">
        <v>148</v>
      </c>
      <c r="N32" s="12">
        <v>10520</v>
      </c>
      <c r="O32" s="12">
        <v>0</v>
      </c>
      <c r="P32" s="12">
        <v>0</v>
      </c>
    </row>
    <row r="33" spans="1:16" x14ac:dyDescent="0.35">
      <c r="A33" s="4">
        <v>17259</v>
      </c>
      <c r="B33" s="2">
        <v>46116</v>
      </c>
      <c r="C33" s="6" t="s">
        <v>149</v>
      </c>
      <c r="D33" s="6" t="s">
        <v>150</v>
      </c>
      <c r="E33" s="6" t="s">
        <v>151</v>
      </c>
      <c r="F33" s="6" t="s">
        <v>152</v>
      </c>
      <c r="G33" s="8">
        <v>31660</v>
      </c>
      <c r="H33" s="8">
        <v>4700</v>
      </c>
      <c r="I33" s="6" t="s">
        <v>21</v>
      </c>
      <c r="J33" s="6" t="s">
        <v>153</v>
      </c>
      <c r="K33" s="6" t="s">
        <v>23</v>
      </c>
      <c r="L33" s="10">
        <v>0</v>
      </c>
      <c r="M33" s="6" t="s">
        <v>148</v>
      </c>
      <c r="N33" s="12">
        <v>6740</v>
      </c>
      <c r="O33" s="12">
        <v>0</v>
      </c>
      <c r="P33" s="12">
        <v>0</v>
      </c>
    </row>
    <row r="34" spans="1:16" x14ac:dyDescent="0.35">
      <c r="A34" s="4">
        <v>17260</v>
      </c>
      <c r="B34" s="2">
        <v>46116</v>
      </c>
      <c r="C34" s="6" t="s">
        <v>154</v>
      </c>
      <c r="D34" s="6" t="s">
        <v>155</v>
      </c>
      <c r="E34" s="6" t="s">
        <v>156</v>
      </c>
      <c r="F34" s="6" t="s">
        <v>157</v>
      </c>
      <c r="G34" s="8">
        <v>45500</v>
      </c>
      <c r="H34" s="8">
        <v>4700</v>
      </c>
      <c r="I34" s="6" t="s">
        <v>21</v>
      </c>
      <c r="J34" s="6" t="s">
        <v>158</v>
      </c>
      <c r="K34" s="6" t="s">
        <v>23</v>
      </c>
      <c r="L34" s="10">
        <v>0</v>
      </c>
      <c r="M34" s="6" t="s">
        <v>19</v>
      </c>
      <c r="N34" s="12">
        <v>0</v>
      </c>
      <c r="O34" s="12">
        <v>0</v>
      </c>
      <c r="P34" s="12">
        <v>0</v>
      </c>
    </row>
    <row r="35" spans="1:16" x14ac:dyDescent="0.35">
      <c r="A35" s="4">
        <v>17261</v>
      </c>
      <c r="B35" s="2">
        <v>46116</v>
      </c>
      <c r="C35" s="6" t="s">
        <v>159</v>
      </c>
      <c r="D35" s="6" t="s">
        <v>160</v>
      </c>
      <c r="E35" s="6" t="s">
        <v>161</v>
      </c>
      <c r="F35" s="6" t="s">
        <v>162</v>
      </c>
      <c r="G35" s="8">
        <v>86200</v>
      </c>
      <c r="H35" s="8">
        <v>4700</v>
      </c>
      <c r="I35" s="6" t="s">
        <v>21</v>
      </c>
      <c r="J35" s="6" t="s">
        <v>163</v>
      </c>
      <c r="K35" s="6" t="s">
        <v>23</v>
      </c>
      <c r="L35" s="10">
        <v>0</v>
      </c>
      <c r="M35" s="6" t="s">
        <v>19</v>
      </c>
      <c r="N35" s="12">
        <v>0</v>
      </c>
      <c r="O35" s="12">
        <v>0</v>
      </c>
      <c r="P35" s="12">
        <v>0</v>
      </c>
    </row>
    <row r="36" spans="1:16" x14ac:dyDescent="0.35">
      <c r="A36" s="4">
        <v>17262</v>
      </c>
      <c r="B36" s="2">
        <v>46116</v>
      </c>
      <c r="C36" s="6" t="s">
        <v>164</v>
      </c>
      <c r="D36" s="6" t="s">
        <v>165</v>
      </c>
      <c r="E36" s="6" t="s">
        <v>166</v>
      </c>
      <c r="F36" s="6" t="s">
        <v>167</v>
      </c>
      <c r="G36" s="8">
        <v>46300</v>
      </c>
      <c r="H36" s="8">
        <v>4700</v>
      </c>
      <c r="I36" s="6" t="s">
        <v>19</v>
      </c>
      <c r="J36" s="6" t="s">
        <v>19</v>
      </c>
      <c r="K36" s="6" t="s">
        <v>23</v>
      </c>
      <c r="L36" s="10">
        <v>0</v>
      </c>
      <c r="M36" s="6" t="s">
        <v>19</v>
      </c>
      <c r="N36" s="12">
        <v>0</v>
      </c>
      <c r="O36" s="12">
        <v>0</v>
      </c>
      <c r="P36" s="12">
        <v>0</v>
      </c>
    </row>
    <row r="37" spans="1:16" x14ac:dyDescent="0.35">
      <c r="A37" s="4">
        <v>17267</v>
      </c>
      <c r="B37" s="2">
        <v>46117</v>
      </c>
      <c r="C37" s="6" t="s">
        <v>168</v>
      </c>
      <c r="D37" s="6" t="s">
        <v>169</v>
      </c>
      <c r="E37" s="6" t="s">
        <v>170</v>
      </c>
      <c r="F37" s="6" t="s">
        <v>171</v>
      </c>
      <c r="G37" s="8">
        <v>29980</v>
      </c>
      <c r="H37" s="8">
        <v>4700</v>
      </c>
      <c r="I37" s="6" t="s">
        <v>21</v>
      </c>
      <c r="J37" s="6" t="s">
        <v>172</v>
      </c>
      <c r="K37" s="6" t="s">
        <v>23</v>
      </c>
      <c r="L37" s="10">
        <v>0</v>
      </c>
      <c r="M37" s="6" t="s">
        <v>148</v>
      </c>
      <c r="N37" s="12">
        <v>6320</v>
      </c>
      <c r="O37" s="12">
        <v>0</v>
      </c>
      <c r="P37" s="12">
        <v>0</v>
      </c>
    </row>
    <row r="38" spans="1:16" x14ac:dyDescent="0.35">
      <c r="A38" s="4">
        <v>17268</v>
      </c>
      <c r="B38" s="2">
        <v>46117</v>
      </c>
      <c r="C38" s="6" t="s">
        <v>173</v>
      </c>
      <c r="D38" s="6" t="s">
        <v>174</v>
      </c>
      <c r="E38" s="6" t="s">
        <v>175</v>
      </c>
      <c r="F38" s="6" t="s">
        <v>176</v>
      </c>
      <c r="G38" s="8">
        <v>30460</v>
      </c>
      <c r="H38" s="8">
        <v>4700</v>
      </c>
      <c r="I38" s="6" t="s">
        <v>21</v>
      </c>
      <c r="J38" s="6" t="s">
        <v>177</v>
      </c>
      <c r="K38" s="6" t="s">
        <v>23</v>
      </c>
      <c r="L38" s="10">
        <v>0</v>
      </c>
      <c r="M38" s="6" t="s">
        <v>148</v>
      </c>
      <c r="N38" s="12">
        <v>6440</v>
      </c>
      <c r="O38" s="12">
        <v>0</v>
      </c>
      <c r="P38" s="12">
        <v>0</v>
      </c>
    </row>
    <row r="39" spans="1:16" x14ac:dyDescent="0.35">
      <c r="A39" s="4">
        <v>17269</v>
      </c>
      <c r="B39" s="2">
        <v>46117</v>
      </c>
      <c r="C39" s="6" t="s">
        <v>178</v>
      </c>
      <c r="D39" s="6" t="s">
        <v>179</v>
      </c>
      <c r="E39" s="6" t="s">
        <v>180</v>
      </c>
      <c r="F39" s="6" t="s">
        <v>181</v>
      </c>
      <c r="G39" s="8">
        <v>41000</v>
      </c>
      <c r="H39" s="8">
        <v>4700</v>
      </c>
      <c r="I39" s="6" t="s">
        <v>19</v>
      </c>
      <c r="J39" s="6" t="s">
        <v>19</v>
      </c>
      <c r="K39" s="6" t="s">
        <v>23</v>
      </c>
      <c r="L39" s="10">
        <v>0</v>
      </c>
      <c r="M39" s="6" t="s">
        <v>19</v>
      </c>
      <c r="N39" s="12">
        <v>0</v>
      </c>
      <c r="O39" s="12">
        <v>0</v>
      </c>
      <c r="P39" s="12">
        <v>0</v>
      </c>
    </row>
    <row r="40" spans="1:16" x14ac:dyDescent="0.35">
      <c r="A40" s="4">
        <v>17263</v>
      </c>
      <c r="B40" s="2">
        <v>46117</v>
      </c>
      <c r="C40" s="6" t="s">
        <v>182</v>
      </c>
      <c r="D40" s="6" t="s">
        <v>183</v>
      </c>
      <c r="E40" s="6" t="s">
        <v>184</v>
      </c>
      <c r="F40" s="6" t="s">
        <v>185</v>
      </c>
      <c r="G40" s="8">
        <v>21580</v>
      </c>
      <c r="H40" s="8">
        <v>4700</v>
      </c>
      <c r="I40" s="6" t="s">
        <v>21</v>
      </c>
      <c r="J40" s="6" t="s">
        <v>186</v>
      </c>
      <c r="K40" s="6" t="s">
        <v>23</v>
      </c>
      <c r="L40" s="10">
        <v>0</v>
      </c>
      <c r="M40" s="6" t="s">
        <v>187</v>
      </c>
      <c r="N40" s="12">
        <v>4220</v>
      </c>
      <c r="O40" s="12">
        <v>0</v>
      </c>
      <c r="P40" s="12">
        <v>0</v>
      </c>
    </row>
    <row r="41" spans="1:16" x14ac:dyDescent="0.35">
      <c r="A41" s="4">
        <v>17264</v>
      </c>
      <c r="B41" s="2">
        <v>46117</v>
      </c>
      <c r="C41" s="6" t="s">
        <v>188</v>
      </c>
      <c r="D41" s="6" t="s">
        <v>189</v>
      </c>
      <c r="E41" s="6" t="s">
        <v>190</v>
      </c>
      <c r="F41" s="6" t="s">
        <v>191</v>
      </c>
      <c r="G41" s="8">
        <v>49500</v>
      </c>
      <c r="H41" s="8">
        <v>4700</v>
      </c>
      <c r="I41" s="6" t="s">
        <v>21</v>
      </c>
      <c r="J41" s="6" t="s">
        <v>192</v>
      </c>
      <c r="K41" s="6" t="s">
        <v>23</v>
      </c>
      <c r="L41" s="10">
        <v>0</v>
      </c>
      <c r="M41" s="6" t="s">
        <v>19</v>
      </c>
      <c r="N41" s="12">
        <v>0</v>
      </c>
      <c r="O41" s="12">
        <v>0</v>
      </c>
      <c r="P41" s="12">
        <v>0</v>
      </c>
    </row>
    <row r="42" spans="1:16" x14ac:dyDescent="0.35">
      <c r="A42" s="4">
        <v>17266</v>
      </c>
      <c r="B42" s="2">
        <v>46117</v>
      </c>
      <c r="C42" s="6" t="s">
        <v>193</v>
      </c>
      <c r="D42" s="6" t="s">
        <v>194</v>
      </c>
      <c r="E42" s="6" t="s">
        <v>195</v>
      </c>
      <c r="F42" s="6" t="s">
        <v>196</v>
      </c>
      <c r="G42" s="8">
        <v>21700</v>
      </c>
      <c r="H42" s="8">
        <v>4700</v>
      </c>
      <c r="I42" s="6" t="s">
        <v>21</v>
      </c>
      <c r="J42" s="6" t="s">
        <v>197</v>
      </c>
      <c r="K42" s="6" t="s">
        <v>23</v>
      </c>
      <c r="L42" s="10">
        <v>0</v>
      </c>
      <c r="M42" s="6" t="s">
        <v>19</v>
      </c>
      <c r="N42" s="12">
        <v>0</v>
      </c>
      <c r="O42" s="12">
        <v>0</v>
      </c>
      <c r="P42" s="12">
        <v>0</v>
      </c>
    </row>
    <row r="43" spans="1:16" x14ac:dyDescent="0.35">
      <c r="A43" s="15" t="s">
        <v>48</v>
      </c>
      <c r="B43" s="16"/>
      <c r="C43" s="16"/>
      <c r="D43" s="16"/>
      <c r="E43" s="16"/>
      <c r="F43" s="16"/>
      <c r="G43" s="8">
        <f>SUBTOTAL(9,G13:G42)</f>
        <v>1191920</v>
      </c>
      <c r="H43" s="8">
        <f>SUBTOTAL(9,H13:H42)</f>
        <v>143000</v>
      </c>
      <c r="N43" s="12">
        <f>SUBTOTAL(9,N13:N42)</f>
        <v>47280</v>
      </c>
    </row>
    <row r="44" spans="1:16" ht="7.5" thickBot="1" x14ac:dyDescent="0.4">
      <c r="A44" s="17"/>
      <c r="B44" s="18"/>
      <c r="C44" s="19"/>
      <c r="D44" s="19"/>
      <c r="E44" s="19"/>
      <c r="F44" s="19"/>
      <c r="G44" s="20">
        <f>SUBTOTAL(9,G4:G43)</f>
        <v>1378200</v>
      </c>
      <c r="H44" s="20">
        <f>SUBTOTAL(9,H4:H43)</f>
        <v>147700</v>
      </c>
      <c r="I44" s="19"/>
      <c r="J44" s="19"/>
      <c r="K44" s="19"/>
      <c r="L44" s="21"/>
      <c r="M44" s="19"/>
      <c r="N44" s="22">
        <f>SUBTOTAL(9,N4:N43)</f>
        <v>73700</v>
      </c>
      <c r="O44" s="22"/>
      <c r="P44" s="22"/>
    </row>
  </sheetData>
  <mergeCells count="5">
    <mergeCell ref="A4:P4"/>
    <mergeCell ref="A11:F11"/>
    <mergeCell ref="A12:P12"/>
    <mergeCell ref="A43:F43"/>
    <mergeCell ref="A1:P1"/>
  </mergeCells>
  <pageMargins left="0.7" right="0.7" top="0.75" bottom="0.75" header="0.3" footer="0.3"/>
  <pageSetup orientation="portrait" horizontalDpi="360" verticalDpi="360" r:id="rId1"/>
  <headerFooter>
    <oddFooter>&amp;C&amp;"ARIAL,Normal"&amp;7Hoja:  1
&amp;"ARIAL,Normal"&amp;7Fecha:06/04/2026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Hoja1</vt:lpstr>
      <vt:lpstr>Hoja2</vt:lpstr>
      <vt:lpstr>Hoja3</vt:lpstr>
      <vt:lpstr>Hoja1!Área_de_impresión</vt:lpstr>
      <vt:lpstr>Hoja1!Títulos_a_imprimir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Kupe Burgers</dc:creator>
  <cp:lastModifiedBy>Kupe Burgers</cp:lastModifiedBy>
  <dcterms:created xsi:type="dcterms:W3CDTF">2026-04-06T18:28:42Z</dcterms:created>
  <dcterms:modified xsi:type="dcterms:W3CDTF">2026-04-06T18:30:00Z</dcterms:modified>
</cp:coreProperties>
</file>